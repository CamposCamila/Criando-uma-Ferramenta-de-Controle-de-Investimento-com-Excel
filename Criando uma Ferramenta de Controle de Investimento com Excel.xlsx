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\Desktop\"/>
    </mc:Choice>
  </mc:AlternateContent>
  <xr:revisionPtr revIDLastSave="0" documentId="13_ncr:1_{8D1CDF3C-9630-49F6-A9C0-92733DB9F553}" xr6:coauthVersionLast="47" xr6:coauthVersionMax="47" xr10:uidLastSave="{00000000-0000-0000-0000-000000000000}"/>
  <bookViews>
    <workbookView xWindow="-120" yWindow="-120" windowWidth="20640" windowHeight="11760" tabRatio="0" xr2:uid="{D63472A4-8300-4934-9C87-0EC792DCF89D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36" i="1"/>
  <c r="C37" i="1"/>
  <c r="C38" i="1"/>
  <c r="C39" i="1"/>
  <c r="C40" i="1"/>
  <c r="C41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<sst xmlns="http://schemas.openxmlformats.org/spreadsheetml/2006/main" count="71" uniqueCount="34">
  <si>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</si>
  <si>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</si>
  <si>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</si>
  <si>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</si>
  <si>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</si>
  <si>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</si>
  <si>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</si>
  <si>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</si>
  <si>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</si>
  <si>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</si>
  <si>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>Quanto em 30 Anos ?</t>
  </si>
  <si>
    <t xml:space="preserve"> 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</si>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</sst>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6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5" fillId="5" borderId="1" xfId="0" applyFont="1" applyFill="1" applyBorder="1" applyAlignment="1">
      <alignment horizontal="right" vertical="center"/>
    </xf>
    <xf numFmtId="0" fontId="6" fillId="5" borderId="3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left" indent="3"/>
    </xf>
    <xf numFmtId="164" fontId="10" fillId="4" borderId="6" xfId="0" applyNumberFormat="1" applyFont="1" applyFill="1" applyBorder="1" applyAlignment="1">
      <alignment horizontal="center"/>
    </xf>
    <xf numFmtId="164" fontId="10" fillId="4" borderId="7" xfId="0" applyNumberFormat="1" applyFont="1" applyFill="1" applyBorder="1" applyAlignment="1">
      <alignment horizontal="center"/>
    </xf>
    <xf numFmtId="0" fontId="9" fillId="4" borderId="8" xfId="0" applyFont="1" applyFill="1" applyBorder="1" applyAlignment="1">
      <alignment horizontal="left" indent="3"/>
    </xf>
    <xf numFmtId="164" fontId="10" fillId="4" borderId="9" xfId="0" applyNumberFormat="1" applyFont="1" applyFill="1" applyBorder="1" applyAlignment="1">
      <alignment horizontal="center"/>
    </xf>
    <xf numFmtId="164" fontId="10" fillId="4" borderId="10" xfId="0" applyNumberFormat="1" applyFont="1" applyFill="1" applyBorder="1" applyAlignment="1">
      <alignment horizontal="center"/>
    </xf>
    <xf numFmtId="0" fontId="9" fillId="4" borderId="11" xfId="0" applyFont="1" applyFill="1" applyBorder="1" applyAlignment="1">
      <alignment horizontal="left" indent="3"/>
    </xf>
    <xf numFmtId="164" fontId="10" fillId="4" borderId="12" xfId="0" applyNumberFormat="1" applyFont="1" applyFill="1" applyBorder="1" applyAlignment="1">
      <alignment horizontal="center"/>
    </xf>
    <xf numFmtId="164" fontId="10" fillId="4" borderId="13" xfId="0" applyNumberFormat="1" applyFont="1" applyFill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11" fillId="0" borderId="19" xfId="0" applyNumberFormat="1" applyFont="1" applyBorder="1" applyAlignment="1">
      <alignment horizontal="center"/>
    </xf>
    <xf numFmtId="8" fontId="11" fillId="4" borderId="19" xfId="0" applyNumberFormat="1" applyFont="1" applyFill="1" applyBorder="1" applyAlignment="1">
      <alignment horizontal="center"/>
    </xf>
    <xf numFmtId="8" fontId="11" fillId="4" borderId="22" xfId="0" applyNumberFormat="1" applyFont="1" applyFill="1" applyBorder="1" applyAlignment="1">
      <alignment horizontal="center"/>
    </xf>
    <xf numFmtId="164" fontId="10" fillId="0" borderId="16" xfId="1" applyNumberFormat="1" applyFont="1" applyBorder="1" applyAlignment="1">
      <alignment horizontal="center"/>
    </xf>
    <xf numFmtId="10" fontId="10" fillId="0" borderId="19" xfId="0" applyNumberFormat="1" applyFont="1" applyBorder="1" applyAlignment="1">
      <alignment horizontal="center"/>
    </xf>
    <xf numFmtId="164" fontId="10" fillId="6" borderId="22" xfId="0" applyNumberFormat="1" applyFont="1" applyFill="1" applyBorder="1" applyAlignment="1">
      <alignment horizontal="center"/>
    </xf>
    <xf numFmtId="0" fontId="2" fillId="2" borderId="0" xfId="3"/>
    <xf numFmtId="0" fontId="2" fillId="2" borderId="0" xfId="3" applyAlignment="1">
      <alignment horizontal="center"/>
    </xf>
    <xf numFmtId="0" fontId="3" fillId="6" borderId="0" xfId="0" applyFont="1" applyFill="1"/>
    <xf numFmtId="164" fontId="3" fillId="6" borderId="0" xfId="1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0" xfId="0" applyFont="1" applyFill="1"/>
    <xf numFmtId="164" fontId="3" fillId="7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9" fontId="2" fillId="2" borderId="0" xfId="2" applyFont="1" applyFill="1"/>
    <xf numFmtId="0" fontId="4" fillId="8" borderId="0" xfId="0" applyFont="1" applyFill="1"/>
    <xf numFmtId="0" fontId="4" fillId="8" borderId="0" xfId="0" applyFont="1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9" fontId="0" fillId="5" borderId="0" xfId="0" applyNumberFormat="1" applyFill="1" applyAlignment="1">
      <alignment horizontal="center"/>
    </xf>
    <xf numFmtId="0" fontId="9" fillId="6" borderId="14" xfId="0" applyFont="1" applyFill="1" applyBorder="1" applyAlignment="1">
      <alignment horizontal="left" indent="3"/>
    </xf>
    <xf numFmtId="0" fontId="9" fillId="6" borderId="15" xfId="0" applyFont="1" applyFill="1" applyBorder="1" applyAlignment="1">
      <alignment horizontal="left" indent="3"/>
    </xf>
    <xf numFmtId="0" fontId="9" fillId="6" borderId="17" xfId="0" applyFont="1" applyFill="1" applyBorder="1" applyAlignment="1">
      <alignment horizontal="left" indent="3"/>
    </xf>
    <xf numFmtId="0" fontId="9" fillId="6" borderId="18" xfId="0" applyFont="1" applyFill="1" applyBorder="1" applyAlignment="1">
      <alignment horizontal="left" indent="3"/>
    </xf>
    <xf numFmtId="0" fontId="9" fillId="6" borderId="20" xfId="0" applyFont="1" applyFill="1" applyBorder="1" applyAlignment="1">
      <alignment horizontal="left" indent="3"/>
    </xf>
    <xf numFmtId="0" fontId="9" fillId="6" borderId="21" xfId="0" applyFont="1" applyFill="1" applyBorder="1" applyAlignment="1">
      <alignment horizontal="left" indent="3"/>
    </xf>
    <xf numFmtId="0" fontId="12" fillId="4" borderId="17" xfId="0" applyFont="1" applyFill="1" applyBorder="1" applyAlignment="1">
      <alignment horizontal="left" indent="3"/>
    </xf>
    <xf numFmtId="0" fontId="12" fillId="4" borderId="18" xfId="0" applyFont="1" applyFill="1" applyBorder="1" applyAlignment="1">
      <alignment horizontal="left" indent="3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12" fillId="4" borderId="20" xfId="0" applyFont="1" applyFill="1" applyBorder="1" applyAlignment="1">
      <alignment horizontal="left" indent="3"/>
    </xf>
    <xf numFmtId="0" fontId="12" fillId="4" borderId="21" xfId="0" applyFont="1" applyFill="1" applyBorder="1" applyAlignment="1">
      <alignment horizontal="left" indent="3"/>
    </xf>
    <xf numFmtId="0" fontId="7" fillId="3" borderId="2" xfId="0" applyFont="1" applyFill="1" applyBorder="1" applyAlignment="1">
      <alignment horizontal="center"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110-4742-9BB6-5B5AF64F38A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10-4742-9BB6-5B5AF64F38A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110-4742-9BB6-5B5AF64F38A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1110-4742-9BB6-5B5AF64F38A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1110-4742-9BB6-5B5AF64F38A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1110-4742-9BB6-5B5AF64F38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42</xdr:row>
      <xdr:rowOff>97971</xdr:rowOff>
    </xdr:from>
    <xdr:to>
      <xdr:col>4</xdr:col>
      <xdr:colOff>8659</xdr:colOff>
      <xdr:row>55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1454728</xdr:colOff>
      <xdr:row>2</xdr:row>
      <xdr:rowOff>1</xdr:rowOff>
    </xdr:from>
    <xdr:ext cx="4190998" cy="1117022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7CDB07BA-6842-ED51-826B-F3248A8515BE}"/>
            </a:ext>
          </a:extLst>
        </xdr:cNvPr>
        <xdr:cNvSpPr/>
      </xdr:nvSpPr>
      <xdr:spPr>
        <a:xfrm>
          <a:off x="1818410" y="381001"/>
          <a:ext cx="4190998" cy="1117022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pt-BR" sz="54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twoCellAnchor>
    <xdr:from>
      <xdr:col>0</xdr:col>
      <xdr:colOff>355023</xdr:colOff>
      <xdr:row>1</xdr:row>
      <xdr:rowOff>17318</xdr:rowOff>
    </xdr:from>
    <xdr:to>
      <xdr:col>3</xdr:col>
      <xdr:colOff>995795</xdr:colOff>
      <xdr:row>8</xdr:row>
      <xdr:rowOff>129886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EC917FB0-5551-4673-65F3-907C6EC7C6EA}"/>
            </a:ext>
          </a:extLst>
        </xdr:cNvPr>
        <xdr:cNvGrpSpPr/>
      </xdr:nvGrpSpPr>
      <xdr:grpSpPr>
        <a:xfrm>
          <a:off x="355023" y="207818"/>
          <a:ext cx="5290704" cy="1446068"/>
          <a:chOff x="190500" y="207818"/>
          <a:chExt cx="5836227" cy="1446068"/>
        </a:xfrm>
      </xdr:grpSpPr>
      <xdr:sp macro="" textlink="">
        <xdr:nvSpPr>
          <xdr:cNvPr id="2" name="Retângulo: Cantos Arredondados 1">
            <a:extLst>
              <a:ext uri="{FF2B5EF4-FFF2-40B4-BE49-F238E27FC236}">
                <a16:creationId xmlns:a16="http://schemas.microsoft.com/office/drawing/2014/main" id="{51B9AB79-8790-B402-D429-F4567596908C}"/>
              </a:ext>
              <a:ext uri="{C183D7F6-B498-43B3-948B-1728B52AA6E4}">
                <adec:decorative xmlns:adec="http://schemas.microsoft.com/office/drawing/2017/decorative" val="0"/>
              </a:ext>
            </a:extLst>
          </xdr:cNvPr>
          <xdr:cNvSpPr/>
        </xdr:nvSpPr>
        <xdr:spPr>
          <a:xfrm>
            <a:off x="190500" y="207818"/>
            <a:ext cx="5836227" cy="1446068"/>
          </a:xfrm>
          <a:prstGeom prst="roundRect">
            <a:avLst>
              <a:gd name="adj" fmla="val 19661"/>
            </a:avLst>
          </a:prstGeom>
          <a:solidFill>
            <a:schemeClr val="accent5">
              <a:lumMod val="40000"/>
              <a:lumOff val="60000"/>
            </a:schemeClr>
          </a:solidFill>
          <a:ln w="57150">
            <a:solidFill>
              <a:schemeClr val="accent5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1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endParaRPr>
          </a:p>
          <a:p>
            <a:pPr algn="ctr"/>
            <a:endParaRPr lang="pt-BR" sz="11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endParaRPr>
          </a:p>
          <a:p>
            <a:pPr algn="ctr"/>
            <a:r>
              <a:rPr lang="pt-BR" sz="1100" b="1" cap="none" spc="0" baseline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accent5"/>
                </a:solidFill>
                <a:effectLst>
                  <a:outerShdw blurRad="12700" dist="38100" dir="2700000" algn="tl" rotWithShape="0">
                    <a:schemeClr val="accent5">
                      <a:lumMod val="60000"/>
                      <a:lumOff val="40000"/>
                    </a:schemeClr>
                  </a:outerShdw>
                </a:effectLst>
              </a:rPr>
              <a:t>                                      </a:t>
            </a:r>
            <a:r>
              <a:rPr lang="pt-BR" sz="4400" b="1" cap="none" spc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accent5"/>
                </a:solidFill>
                <a:effectLst>
                  <a:outerShdw blurRad="12700" dist="38100" dir="2700000" algn="tl" rotWithShape="0">
                    <a:schemeClr val="accent5">
                      <a:lumMod val="60000"/>
                      <a:lumOff val="40000"/>
                    </a:schemeClr>
                  </a:outerShdw>
                </a:effectLst>
              </a:rPr>
              <a:t>Camila Invest</a:t>
            </a:r>
          </a:p>
        </xdr:txBody>
      </xdr:sp>
      <xdr:pic>
        <xdr:nvPicPr>
          <xdr:cNvPr id="7" name="Gráfico 6" descr="Cofrinho com preenchimento sólido">
            <a:extLst>
              <a:ext uri="{FF2B5EF4-FFF2-40B4-BE49-F238E27FC236}">
                <a16:creationId xmlns:a16="http://schemas.microsoft.com/office/drawing/2014/main" id="{F4778D2E-29F7-2721-7247-FB9BE667F7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822614" y="536864"/>
            <a:ext cx="813954" cy="84859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0:H57"/>
  <sheetViews>
    <sheetView showGridLines="0" showRowColHeaders="0" tabSelected="1" zoomScale="110" zoomScaleNormal="110" workbookViewId="0">
      <selection activeCell="H11" sqref="H11"/>
    </sheetView>
  </sheetViews>
  <sheetFormatPr defaultColWidth="0" defaultRowHeight="15" x14ac:dyDescent="0.25"/>
  <cols>
    <col min="1" max="1" width="5.42578125" customWidth="1"/>
    <col min="2" max="2" width="46.85546875" customWidth="1"/>
    <col min="3" max="3" width="17.42578125" bestFit="1" customWidth="1"/>
    <col min="4" max="4" width="15" customWidth="1"/>
    <col min="5" max="8" width="3.5703125" customWidth="1"/>
    <col min="9" max="16384" width="8.7109375" hidden="1"/>
  </cols>
  <sheetData>
    <row r="10" spans="2:4" ht="15.75" thickBot="1" x14ac:dyDescent="0.3"/>
    <row r="11" spans="2:4" ht="26.25" x14ac:dyDescent="0.3">
      <c r="B11" s="5" t="s">
        <v>15</v>
      </c>
      <c r="C11" s="6"/>
      <c r="D11" s="7"/>
    </row>
    <row r="12" spans="2:4" ht="17.25" x14ac:dyDescent="0.3">
      <c r="B12" s="43" t="s">
        <v>14</v>
      </c>
      <c r="C12" s="44"/>
      <c r="D12" s="23">
        <v>5000</v>
      </c>
    </row>
    <row r="13" spans="2:4" ht="17.25" x14ac:dyDescent="0.3">
      <c r="B13" s="45" t="s">
        <v>13</v>
      </c>
      <c r="C13" s="46"/>
      <c r="D13" s="24">
        <v>6.0000000000000001E-3</v>
      </c>
    </row>
    <row r="14" spans="2:4" ht="18" thickBot="1" x14ac:dyDescent="0.35">
      <c r="B14" s="47" t="s">
        <v>33</v>
      </c>
      <c r="C14" s="48"/>
      <c r="D14" s="25">
        <f>D12*30%</f>
        <v>1500</v>
      </c>
    </row>
    <row r="15" spans="2:4" ht="15.75" thickBot="1" x14ac:dyDescent="0.3"/>
    <row r="16" spans="2:4" ht="28.5" customHeight="1" x14ac:dyDescent="0.25">
      <c r="B16" s="51" t="s">
        <v>5</v>
      </c>
      <c r="C16" s="52"/>
      <c r="D16" s="55"/>
    </row>
    <row r="17" spans="1:6" ht="17.25" x14ac:dyDescent="0.3">
      <c r="B17" s="43" t="s">
        <v>0</v>
      </c>
      <c r="C17" s="44"/>
      <c r="D17" s="18">
        <v>500</v>
      </c>
    </row>
    <row r="18" spans="1:6" ht="17.25" x14ac:dyDescent="0.3">
      <c r="B18" s="45" t="s">
        <v>1</v>
      </c>
      <c r="C18" s="46"/>
      <c r="D18" s="19">
        <v>5</v>
      </c>
    </row>
    <row r="19" spans="1:6" ht="17.25" x14ac:dyDescent="0.3">
      <c r="B19" s="45" t="s">
        <v>2</v>
      </c>
      <c r="C19" s="46"/>
      <c r="D19" s="20">
        <v>1.0789999999999999E-2</v>
      </c>
    </row>
    <row r="20" spans="1:6" ht="17.25" x14ac:dyDescent="0.3">
      <c r="B20" s="49" t="s">
        <v>3</v>
      </c>
      <c r="C20" s="50"/>
      <c r="D20" s="21">
        <f>FV(taxa_mensal,qtd_anos*12,aporte*-1)</f>
        <v>41888.456999243819</v>
      </c>
    </row>
    <row r="21" spans="1:6" ht="18" thickBot="1" x14ac:dyDescent="0.35">
      <c r="B21" s="53" t="s">
        <v>4</v>
      </c>
      <c r="C21" s="54"/>
      <c r="D21" s="22">
        <f>patrimonio*rendimento_carteira</f>
        <v>251.33074199546292</v>
      </c>
      <c r="F21" s="3"/>
    </row>
    <row r="22" spans="1:6" ht="15.75" thickBot="1" x14ac:dyDescent="0.3"/>
    <row r="23" spans="1:6" ht="30.75" x14ac:dyDescent="0.25">
      <c r="B23" s="51" t="s">
        <v>11</v>
      </c>
      <c r="C23" s="52"/>
      <c r="D23" s="8" t="s">
        <v>12</v>
      </c>
    </row>
    <row r="24" spans="1:6" ht="17.25" x14ac:dyDescent="0.3">
      <c r="A24" s="1">
        <v>2</v>
      </c>
      <c r="B24" s="9" t="s">
        <v>6</v>
      </c>
      <c r="C24" s="10">
        <f>FV($D$19,$A24*12,$D$17*-1)</f>
        <v>13613.813648822608</v>
      </c>
      <c r="D24" s="11">
        <f>C24*rendimento_carteira</f>
        <v>81.682881892935654</v>
      </c>
    </row>
    <row r="25" spans="1:6" ht="17.25" x14ac:dyDescent="0.3">
      <c r="A25" s="1">
        <v>5</v>
      </c>
      <c r="B25" s="12" t="s">
        <v>7</v>
      </c>
      <c r="C25" s="13">
        <f>FV($D$19,$A25*12,$D$17*-1)</f>
        <v>41888.456999243819</v>
      </c>
      <c r="D25" s="14">
        <f>C25*rendimento_carteira</f>
        <v>251.33074199546292</v>
      </c>
    </row>
    <row r="26" spans="1:6" ht="17.25" x14ac:dyDescent="0.3">
      <c r="A26" s="1">
        <v>10</v>
      </c>
      <c r="B26" s="12" t="s">
        <v>8</v>
      </c>
      <c r="C26" s="13">
        <f>FV($D$19,$A26*12,$D$17*-1)</f>
        <v>121642.1062650861</v>
      </c>
      <c r="D26" s="14">
        <f>C26*rendimento_carteira</f>
        <v>729.85263759051657</v>
      </c>
    </row>
    <row r="27" spans="1:6" ht="17.25" x14ac:dyDescent="0.3">
      <c r="A27" s="1">
        <v>20</v>
      </c>
      <c r="B27" s="12" t="s">
        <v>9</v>
      </c>
      <c r="C27" s="13">
        <f>FV($D$19,$A27*12,$D$17*-1)</f>
        <v>562599.20004854025</v>
      </c>
      <c r="D27" s="14">
        <f>C27*rendimento_carteira</f>
        <v>3375.5952002912418</v>
      </c>
    </row>
    <row r="28" spans="1:6" ht="18" thickBot="1" x14ac:dyDescent="0.35">
      <c r="A28" s="1">
        <v>30</v>
      </c>
      <c r="B28" s="15" t="s">
        <v>10</v>
      </c>
      <c r="C28" s="16">
        <f>FV($D$19,$A28*12,$D$17*-1)</f>
        <v>2161084.8275023573</v>
      </c>
      <c r="D28" s="17">
        <f>C28*rendimento_carteira</f>
        <v>12966.508965014144</v>
      </c>
    </row>
    <row r="32" spans="1:6" x14ac:dyDescent="0.25">
      <c r="B32" s="26" t="s">
        <v>20</v>
      </c>
      <c r="C32" s="27" t="s">
        <v>17</v>
      </c>
      <c r="D32" s="26"/>
    </row>
    <row r="33" spans="2:4" x14ac:dyDescent="0.25">
      <c r="B33" s="28" t="s">
        <v>19</v>
      </c>
      <c r="C33" s="29">
        <f>aporte</f>
        <v>500</v>
      </c>
      <c r="D33" s="28"/>
    </row>
    <row r="35" spans="2:4" x14ac:dyDescent="0.25">
      <c r="B35" s="30" t="s">
        <v>21</v>
      </c>
      <c r="C35" s="30" t="s">
        <v>22</v>
      </c>
      <c r="D35" s="30" t="s">
        <v>23</v>
      </c>
    </row>
    <row r="36" spans="2:4" x14ac:dyDescent="0.25">
      <c r="B36" s="2" t="s">
        <v>24</v>
      </c>
      <c r="C36" s="4">
        <f>VLOOKUP($C$32&amp;"-"&amp;B36,Planilha2!$A:$D,4,FALSE)</f>
        <v>0.32</v>
      </c>
      <c r="D36" s="33">
        <f>C36*$C$33</f>
        <v>160</v>
      </c>
    </row>
    <row r="37" spans="2:4" x14ac:dyDescent="0.25">
      <c r="B37" s="2" t="s">
        <v>25</v>
      </c>
      <c r="C37" s="4">
        <f>VLOOKUP($C$32&amp;"-"&amp;B37,Planilha2!$A:$D,4,FALSE)</f>
        <v>0.35</v>
      </c>
      <c r="D37" s="33">
        <f t="shared" ref="D37:D41" si="0">C37*$C$33</f>
        <v>175</v>
      </c>
    </row>
    <row r="38" spans="2:4" x14ac:dyDescent="0.25">
      <c r="B38" s="2" t="s">
        <v>26</v>
      </c>
      <c r="C38" s="4">
        <f>VLOOKUP($C$32&amp;"-"&amp;B38,Planilha2!$A:$D,4,FALSE)</f>
        <v>0.08</v>
      </c>
      <c r="D38" s="33">
        <f t="shared" si="0"/>
        <v>40</v>
      </c>
    </row>
    <row r="39" spans="2:4" x14ac:dyDescent="0.25">
      <c r="B39" s="2" t="s">
        <v>27</v>
      </c>
      <c r="C39" s="4">
        <f>VLOOKUP($C$32&amp;"-"&amp;B39,Planilha2!$A:$D,4,FALSE)</f>
        <v>0.05</v>
      </c>
      <c r="D39" s="33">
        <f t="shared" si="0"/>
        <v>25</v>
      </c>
    </row>
    <row r="40" spans="2:4" x14ac:dyDescent="0.25">
      <c r="B40" s="2" t="s">
        <v>28</v>
      </c>
      <c r="C40" s="4">
        <f>VLOOKUP($C$32&amp;"-"&amp;B40,Planilha2!$A:$D,4,FALSE)</f>
        <v>0.1</v>
      </c>
      <c r="D40" s="33">
        <f t="shared" si="0"/>
        <v>50</v>
      </c>
    </row>
    <row r="41" spans="2:4" x14ac:dyDescent="0.25">
      <c r="B41" s="2" t="s">
        <v>29</v>
      </c>
      <c r="C41" s="4">
        <f>VLOOKUP($C$32&amp;"-"&amp;B41,Planilha2!$A:$D,4,FALSE)</f>
        <v>0.1</v>
      </c>
      <c r="D41" s="33">
        <f t="shared" si="0"/>
        <v>50</v>
      </c>
    </row>
    <row r="42" spans="2:4" x14ac:dyDescent="0.25">
      <c r="B42" s="31"/>
      <c r="C42" s="31"/>
      <c r="D42" s="32">
        <f>SUM(D36:D41)</f>
        <v>500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</sheetData>
  <mergeCells count="10"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E16" sqref="E16"/>
    </sheetView>
  </sheetViews>
  <sheetFormatPr defaultRowHeight="15" x14ac:dyDescent="0.25"/>
  <cols>
    <col min="1" max="1" width="29.140625" bestFit="1" customWidth="1"/>
    <col min="2" max="2" width="11.5703125" bestFit="1" customWidth="1"/>
    <col min="3" max="3" width="17.7109375" bestFit="1" customWidth="1"/>
    <col min="7" max="7" width="15.42578125" bestFit="1" customWidth="1"/>
  </cols>
  <sheetData>
    <row r="2" spans="1:8" x14ac:dyDescent="0.25">
      <c r="A2" s="38" t="s">
        <v>31</v>
      </c>
      <c r="B2" s="38" t="s">
        <v>20</v>
      </c>
      <c r="C2" s="39" t="s">
        <v>21</v>
      </c>
      <c r="D2" s="39" t="s">
        <v>30</v>
      </c>
    </row>
    <row r="3" spans="1:8" x14ac:dyDescent="0.25">
      <c r="A3" t="str">
        <f>B3&amp;"-"&amp;C3</f>
        <v>Conservador-PAPEL</v>
      </c>
      <c r="B3" t="s">
        <v>16</v>
      </c>
      <c r="C3" s="2" t="s">
        <v>24</v>
      </c>
      <c r="D3" s="4">
        <v>0.3</v>
      </c>
      <c r="H3" t="s">
        <v>30</v>
      </c>
    </row>
    <row r="4" spans="1:8" x14ac:dyDescent="0.25">
      <c r="A4" t="str">
        <f t="shared" ref="A4:A20" si="0">B4&amp;"-"&amp;C4</f>
        <v>Conservador-TIJOLO</v>
      </c>
      <c r="B4" t="s">
        <v>16</v>
      </c>
      <c r="C4" s="2" t="s">
        <v>25</v>
      </c>
      <c r="D4" s="4">
        <v>0.5</v>
      </c>
      <c r="G4" s="26" t="s">
        <v>32</v>
      </c>
      <c r="H4" s="37">
        <f>VLOOKUP(G4,$A:$D,4,FALSE)</f>
        <v>0.35</v>
      </c>
    </row>
    <row r="5" spans="1:8" x14ac:dyDescent="0.25">
      <c r="A5" t="str">
        <f t="shared" si="0"/>
        <v>Conservador-HÍBRIDOS</v>
      </c>
      <c r="B5" t="s">
        <v>16</v>
      </c>
      <c r="C5" s="2" t="s">
        <v>26</v>
      </c>
      <c r="D5" s="4">
        <v>0.1</v>
      </c>
    </row>
    <row r="6" spans="1:8" x14ac:dyDescent="0.25">
      <c r="A6" t="str">
        <f t="shared" si="0"/>
        <v>Conservador-FOFs</v>
      </c>
      <c r="B6" t="s">
        <v>16</v>
      </c>
      <c r="C6" s="2" t="s">
        <v>27</v>
      </c>
      <c r="D6" s="4">
        <v>0.1</v>
      </c>
    </row>
    <row r="7" spans="1:8" x14ac:dyDescent="0.25">
      <c r="A7" t="str">
        <f t="shared" si="0"/>
        <v>Conservador-DESENVOLVIMENTO</v>
      </c>
      <c r="B7" t="s">
        <v>16</v>
      </c>
      <c r="C7" s="2" t="s">
        <v>28</v>
      </c>
      <c r="D7" s="4">
        <v>0</v>
      </c>
    </row>
    <row r="8" spans="1:8" ht="15.75" thickBot="1" x14ac:dyDescent="0.3">
      <c r="A8" s="34" t="str">
        <f t="shared" si="0"/>
        <v>Conservador-HOTELARIAS</v>
      </c>
      <c r="B8" s="34" t="s">
        <v>16</v>
      </c>
      <c r="C8" s="35" t="s">
        <v>29</v>
      </c>
      <c r="D8" s="36">
        <v>0</v>
      </c>
    </row>
    <row r="9" spans="1:8" x14ac:dyDescent="0.25">
      <c r="A9" t="str">
        <f t="shared" si="0"/>
        <v>Moderado-PAPEL</v>
      </c>
      <c r="B9" t="s">
        <v>17</v>
      </c>
      <c r="C9" s="2" t="s">
        <v>24</v>
      </c>
      <c r="D9" s="4">
        <v>0.32</v>
      </c>
    </row>
    <row r="10" spans="1:8" x14ac:dyDescent="0.25">
      <c r="A10" s="40" t="str">
        <f t="shared" si="0"/>
        <v>Moderado-TIJOLO</v>
      </c>
      <c r="B10" s="40" t="s">
        <v>17</v>
      </c>
      <c r="C10" s="41" t="s">
        <v>25</v>
      </c>
      <c r="D10" s="42">
        <v>0.35</v>
      </c>
    </row>
    <row r="11" spans="1:8" x14ac:dyDescent="0.25">
      <c r="A11" t="str">
        <f t="shared" si="0"/>
        <v>Moderado-HÍBRIDOS</v>
      </c>
      <c r="B11" t="s">
        <v>17</v>
      </c>
      <c r="C11" s="2" t="s">
        <v>26</v>
      </c>
      <c r="D11" s="4">
        <v>0.08</v>
      </c>
    </row>
    <row r="12" spans="1:8" x14ac:dyDescent="0.25">
      <c r="A12" t="str">
        <f t="shared" si="0"/>
        <v>Moderado-FOFs</v>
      </c>
      <c r="B12" t="s">
        <v>17</v>
      </c>
      <c r="C12" s="2" t="s">
        <v>27</v>
      </c>
      <c r="D12" s="4">
        <v>0.05</v>
      </c>
    </row>
    <row r="13" spans="1:8" x14ac:dyDescent="0.25">
      <c r="A13" t="str">
        <f t="shared" si="0"/>
        <v>Moderado-DESENVOLVIMENTO</v>
      </c>
      <c r="B13" t="s">
        <v>17</v>
      </c>
      <c r="C13" s="2" t="s">
        <v>28</v>
      </c>
      <c r="D13" s="4">
        <v>0.1</v>
      </c>
    </row>
    <row r="14" spans="1:8" ht="15.75" thickBot="1" x14ac:dyDescent="0.3">
      <c r="A14" s="34" t="str">
        <f t="shared" si="0"/>
        <v>Moderado-HOTELARIAS</v>
      </c>
      <c r="B14" s="34" t="s">
        <v>17</v>
      </c>
      <c r="C14" s="35" t="s">
        <v>29</v>
      </c>
      <c r="D14" s="36">
        <v>0.1</v>
      </c>
    </row>
    <row r="15" spans="1:8" x14ac:dyDescent="0.25">
      <c r="A15" t="str">
        <f t="shared" si="0"/>
        <v>Agressivo-PAPEL</v>
      </c>
      <c r="B15" t="s">
        <v>18</v>
      </c>
      <c r="C15" s="2" t="s">
        <v>24</v>
      </c>
      <c r="D15" s="4">
        <v>0.5</v>
      </c>
    </row>
    <row r="16" spans="1:8" x14ac:dyDescent="0.25">
      <c r="A16" t="str">
        <f t="shared" si="0"/>
        <v>Agressivo-TIJOLO</v>
      </c>
      <c r="B16" t="s">
        <v>18</v>
      </c>
      <c r="C16" s="2" t="s">
        <v>25</v>
      </c>
      <c r="D16" s="4">
        <v>0.1</v>
      </c>
    </row>
    <row r="17" spans="1:4" x14ac:dyDescent="0.25">
      <c r="A17" t="str">
        <f t="shared" si="0"/>
        <v>Agressivo-HÍBRIDOS</v>
      </c>
      <c r="B17" t="s">
        <v>18</v>
      </c>
      <c r="C17" s="2" t="s">
        <v>26</v>
      </c>
      <c r="D17" s="4">
        <v>0.05</v>
      </c>
    </row>
    <row r="18" spans="1:4" x14ac:dyDescent="0.25">
      <c r="A18" t="str">
        <f t="shared" si="0"/>
        <v>Agressivo-FOFs</v>
      </c>
      <c r="B18" t="s">
        <v>18</v>
      </c>
      <c r="C18" s="2" t="s">
        <v>27</v>
      </c>
      <c r="D18" s="4">
        <v>0.05</v>
      </c>
    </row>
    <row r="19" spans="1:4" x14ac:dyDescent="0.25">
      <c r="A19" t="str">
        <f t="shared" si="0"/>
        <v>Agressivo-DESENVOLVIMENTO</v>
      </c>
      <c r="B19" t="s">
        <v>18</v>
      </c>
      <c r="C19" s="2" t="s">
        <v>28</v>
      </c>
      <c r="D19" s="4">
        <v>0.2</v>
      </c>
    </row>
    <row r="20" spans="1:4" x14ac:dyDescent="0.25">
      <c r="A20" t="str">
        <f t="shared" si="0"/>
        <v>Agressivo-HOTELARIAS</v>
      </c>
      <c r="B20" t="s">
        <v>18</v>
      </c>
      <c r="C20" s="2" t="s">
        <v>29</v>
      </c>
      <c r="D20" s="4">
        <v>0.1</v>
      </c>
    </row>
    <row r="21" spans="1:4" x14ac:dyDescent="0.25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Camila Campos</cp:lastModifiedBy>
  <dcterms:created xsi:type="dcterms:W3CDTF">2025-04-16T18:38:03Z</dcterms:created>
  <dcterms:modified xsi:type="dcterms:W3CDTF">2026-02-13T00:53:16Z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